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  <col width="16" customWidth="1" min="5" max="5"/>
    <col width="16" customWidth="1" min="6" max="6"/>
    <col width="18" customWidth="1" min="7" max="7"/>
  </cols>
  <sheetData>
    <row r="1" ht="28" customHeight="1">
      <c r="A1" s="1" t="inlineStr">
        <is>
          <t>Year</t>
        </is>
      </c>
      <c r="B1" s="1" t="inlineStr">
        <is>
          <t>Mean GWL (m)</t>
        </is>
      </c>
      <c r="C1" s="1" t="inlineStr">
        <is>
          <t>Median GWL (m)</t>
        </is>
      </c>
      <c r="D1" s="1" t="inlineStr">
        <is>
          <t>Std Dev (m)</t>
        </is>
      </c>
      <c r="E1" s="1" t="inlineStr">
        <is>
          <t>Min GWL (m)</t>
        </is>
      </c>
      <c r="F1" s="1" t="inlineStr">
        <is>
          <t>Max GWL (m)</t>
        </is>
      </c>
      <c r="G1" s="1" t="inlineStr">
        <is>
          <t>Number of Obs.</t>
        </is>
      </c>
    </row>
    <row r="2">
      <c r="A2" s="2" t="n">
        <v>1993</v>
      </c>
      <c r="B2" s="3" t="n">
        <v>10.903</v>
      </c>
      <c r="C2" s="3" t="n">
        <v>8.83</v>
      </c>
      <c r="D2" s="3" t="n">
        <v>7.183</v>
      </c>
      <c r="E2" s="3" t="n">
        <v>0.75</v>
      </c>
      <c r="F2" s="3" t="n">
        <v>57.25</v>
      </c>
      <c r="G2" s="2" t="n">
        <v>3153</v>
      </c>
    </row>
    <row r="3">
      <c r="A3" s="2" t="n">
        <v>1994</v>
      </c>
      <c r="B3" s="3" t="n">
        <v>9.742000000000001</v>
      </c>
      <c r="C3" s="3" t="n">
        <v>7.86</v>
      </c>
      <c r="D3" s="3" t="n">
        <v>6.496</v>
      </c>
      <c r="E3" s="3" t="n">
        <v>0.6</v>
      </c>
      <c r="F3" s="3" t="n">
        <v>38.95</v>
      </c>
      <c r="G3" s="2" t="n">
        <v>3295</v>
      </c>
    </row>
    <row r="4">
      <c r="A4" s="2" t="n">
        <v>1995</v>
      </c>
      <c r="B4" s="3" t="n">
        <v>8.885999999999999</v>
      </c>
      <c r="C4" s="3" t="n">
        <v>7.16</v>
      </c>
      <c r="D4" s="3" t="n">
        <v>5.842</v>
      </c>
      <c r="E4" s="3" t="n">
        <v>0.79</v>
      </c>
      <c r="F4" s="3" t="n">
        <v>36.9</v>
      </c>
      <c r="G4" s="2" t="n">
        <v>3208</v>
      </c>
    </row>
    <row r="5">
      <c r="A5" s="2" t="n">
        <v>1996</v>
      </c>
      <c r="B5" s="3" t="n">
        <v>11.68</v>
      </c>
      <c r="C5" s="3" t="n">
        <v>10.565</v>
      </c>
      <c r="D5" s="3" t="n">
        <v>6.621</v>
      </c>
      <c r="E5" s="3" t="n">
        <v>1.3</v>
      </c>
      <c r="F5" s="3" t="n">
        <v>39.04</v>
      </c>
      <c r="G5" s="2" t="n">
        <v>3008</v>
      </c>
    </row>
    <row r="6">
      <c r="A6" s="2" t="n">
        <v>1997</v>
      </c>
      <c r="B6" s="3" t="n">
        <v>10.872</v>
      </c>
      <c r="C6" s="3" t="n">
        <v>9.119999999999999</v>
      </c>
      <c r="D6" s="3" t="n">
        <v>7.232</v>
      </c>
      <c r="E6" s="3" t="n">
        <v>1</v>
      </c>
      <c r="F6" s="3" t="n">
        <v>93.55</v>
      </c>
      <c r="G6" s="2" t="n">
        <v>3159</v>
      </c>
    </row>
    <row r="7">
      <c r="A7" s="2" t="n">
        <v>1998</v>
      </c>
      <c r="B7" s="3" t="n">
        <v>9.266999999999999</v>
      </c>
      <c r="C7" s="3" t="n">
        <v>7.55</v>
      </c>
      <c r="D7" s="3" t="n">
        <v>6.464</v>
      </c>
      <c r="E7" s="3" t="n">
        <v>0.49</v>
      </c>
      <c r="F7" s="3" t="n">
        <v>50</v>
      </c>
      <c r="G7" s="2" t="n">
        <v>3642</v>
      </c>
    </row>
    <row r="8">
      <c r="A8" s="2" t="n">
        <v>1999</v>
      </c>
      <c r="B8" s="3" t="n">
        <v>10.145</v>
      </c>
      <c r="C8" s="3" t="n">
        <v>8.220000000000001</v>
      </c>
      <c r="D8" s="3" t="n">
        <v>7.263</v>
      </c>
      <c r="E8" s="3" t="n">
        <v>0.33</v>
      </c>
      <c r="F8" s="3" t="n">
        <v>53</v>
      </c>
      <c r="G8" s="2" t="n">
        <v>3394</v>
      </c>
    </row>
    <row r="9">
      <c r="A9" s="2" t="n">
        <v>2000</v>
      </c>
      <c r="B9" s="3" t="n">
        <v>10.612</v>
      </c>
      <c r="C9" s="3" t="n">
        <v>8.390000000000001</v>
      </c>
      <c r="D9" s="3" t="n">
        <v>7.783</v>
      </c>
      <c r="E9" s="3" t="n">
        <v>0.37</v>
      </c>
      <c r="F9" s="3" t="n">
        <v>48</v>
      </c>
      <c r="G9" s="2" t="n">
        <v>3496</v>
      </c>
    </row>
    <row r="10">
      <c r="A10" s="2" t="n">
        <v>2001</v>
      </c>
      <c r="B10" s="3" t="n">
        <v>12.058</v>
      </c>
      <c r="C10" s="3" t="n">
        <v>10.2</v>
      </c>
      <c r="D10" s="3" t="n">
        <v>8.472</v>
      </c>
      <c r="E10" s="3" t="n">
        <v>0.4</v>
      </c>
      <c r="F10" s="3" t="n">
        <v>69.81</v>
      </c>
      <c r="G10" s="2" t="n">
        <v>3437</v>
      </c>
    </row>
    <row r="11">
      <c r="A11" s="2" t="n">
        <v>2002</v>
      </c>
      <c r="B11" s="3" t="n">
        <v>13.546</v>
      </c>
      <c r="C11" s="3" t="n">
        <v>11.57</v>
      </c>
      <c r="D11" s="3" t="n">
        <v>9.220000000000001</v>
      </c>
      <c r="E11" s="3" t="n">
        <v>0.62</v>
      </c>
      <c r="F11" s="3" t="n">
        <v>127</v>
      </c>
      <c r="G11" s="2" t="n">
        <v>3186</v>
      </c>
    </row>
    <row r="12">
      <c r="A12" s="2" t="n">
        <v>2003</v>
      </c>
      <c r="B12" s="3" t="n">
        <v>14.671</v>
      </c>
      <c r="C12" s="3" t="n">
        <v>12.2</v>
      </c>
      <c r="D12" s="3" t="n">
        <v>9.539</v>
      </c>
      <c r="E12" s="3" t="n">
        <v>1.24</v>
      </c>
      <c r="F12" s="3" t="n">
        <v>80.2</v>
      </c>
      <c r="G12" s="2" t="n">
        <v>3216</v>
      </c>
    </row>
    <row r="13">
      <c r="A13" s="2" t="n">
        <v>2004</v>
      </c>
      <c r="B13" s="3" t="n">
        <v>15.43</v>
      </c>
      <c r="C13" s="3" t="n">
        <v>13.05</v>
      </c>
      <c r="D13" s="3" t="n">
        <v>10.301</v>
      </c>
      <c r="E13" s="3" t="n">
        <v>0.5</v>
      </c>
      <c r="F13" s="3" t="n">
        <v>75</v>
      </c>
      <c r="G13" s="2" t="n">
        <v>3166</v>
      </c>
    </row>
    <row r="14">
      <c r="A14" s="2" t="n">
        <v>2005</v>
      </c>
      <c r="B14" s="3" t="n">
        <v>12.668</v>
      </c>
      <c r="C14" s="3" t="n">
        <v>10</v>
      </c>
      <c r="D14" s="3" t="n">
        <v>9.801</v>
      </c>
      <c r="E14" s="3" t="n">
        <v>0.1</v>
      </c>
      <c r="F14" s="3" t="n">
        <v>65.40000000000001</v>
      </c>
      <c r="G14" s="2" t="n">
        <v>3627</v>
      </c>
    </row>
    <row r="15">
      <c r="A15" s="2" t="n">
        <v>2006</v>
      </c>
      <c r="B15" s="3" t="n">
        <v>9.552</v>
      </c>
      <c r="C15" s="3" t="n">
        <v>6.8</v>
      </c>
      <c r="D15" s="3" t="n">
        <v>8.550000000000001</v>
      </c>
      <c r="E15" s="3" t="n">
        <v>0.37</v>
      </c>
      <c r="F15" s="3" t="n">
        <v>61.4</v>
      </c>
      <c r="G15" s="2" t="n">
        <v>3922</v>
      </c>
    </row>
    <row r="16">
      <c r="A16" s="2" t="n">
        <v>2007</v>
      </c>
      <c r="B16" s="3" t="n">
        <v>10.249</v>
      </c>
      <c r="C16" s="3" t="n">
        <v>7.86</v>
      </c>
      <c r="D16" s="3" t="n">
        <v>8.446</v>
      </c>
      <c r="E16" s="3" t="n">
        <v>0.45</v>
      </c>
      <c r="F16" s="3" t="n">
        <v>70.81999999999999</v>
      </c>
      <c r="G16" s="2" t="n">
        <v>3815</v>
      </c>
    </row>
    <row r="17">
      <c r="A17" s="2" t="n">
        <v>2008</v>
      </c>
      <c r="B17" s="3" t="n">
        <v>9.635999999999999</v>
      </c>
      <c r="C17" s="3" t="n">
        <v>7.2</v>
      </c>
      <c r="D17" s="3" t="n">
        <v>8.292</v>
      </c>
      <c r="E17" s="3" t="n">
        <v>0.45</v>
      </c>
      <c r="F17" s="3" t="n">
        <v>54.02</v>
      </c>
      <c r="G17" s="2" t="n">
        <v>4105</v>
      </c>
    </row>
    <row r="18">
      <c r="A18" s="2" t="n">
        <v>2009</v>
      </c>
      <c r="B18" s="3" t="n">
        <v>11.339</v>
      </c>
      <c r="C18" s="3" t="n">
        <v>8.720000000000001</v>
      </c>
      <c r="D18" s="3" t="n">
        <v>9.276</v>
      </c>
      <c r="E18" s="3" t="n">
        <v>0.22</v>
      </c>
      <c r="F18" s="3" t="n">
        <v>54.98</v>
      </c>
      <c r="G18" s="2" t="n">
        <v>4094</v>
      </c>
    </row>
    <row r="19">
      <c r="A19" s="2" t="n">
        <v>2010</v>
      </c>
      <c r="B19" s="3" t="n">
        <v>11.78</v>
      </c>
      <c r="C19" s="3" t="n">
        <v>8.619999999999999</v>
      </c>
      <c r="D19" s="3" t="n">
        <v>10.838</v>
      </c>
      <c r="E19" s="3" t="n">
        <v>0.12</v>
      </c>
      <c r="F19" s="3" t="n">
        <v>124</v>
      </c>
      <c r="G19" s="2" t="n">
        <v>4503</v>
      </c>
    </row>
    <row r="20">
      <c r="A20" s="2" t="n">
        <v>2011</v>
      </c>
      <c r="B20" s="3" t="n">
        <v>10.301</v>
      </c>
      <c r="C20" s="3" t="n">
        <v>7.23</v>
      </c>
      <c r="D20" s="3" t="n">
        <v>11.521</v>
      </c>
      <c r="E20" s="3" t="n">
        <v>0.14</v>
      </c>
      <c r="F20" s="3" t="n">
        <v>127.15</v>
      </c>
      <c r="G20" s="2" t="n">
        <v>5566</v>
      </c>
    </row>
    <row r="21">
      <c r="A21" s="2" t="n">
        <v>2012</v>
      </c>
      <c r="B21" s="3" t="n">
        <v>11.752</v>
      </c>
      <c r="C21" s="3" t="n">
        <v>9.35</v>
      </c>
      <c r="D21" s="3" t="n">
        <v>10.362</v>
      </c>
      <c r="E21" s="3" t="n">
        <v>0.6</v>
      </c>
      <c r="F21" s="3" t="n">
        <v>120</v>
      </c>
      <c r="G21" s="2" t="n">
        <v>6155</v>
      </c>
    </row>
    <row r="22">
      <c r="A22" s="2" t="n">
        <v>2013</v>
      </c>
      <c r="B22" s="3" t="n">
        <v>15.174</v>
      </c>
      <c r="C22" s="3" t="n">
        <v>12.48</v>
      </c>
      <c r="D22" s="3" t="n">
        <v>12.703</v>
      </c>
      <c r="E22" s="3" t="n">
        <v>0.67</v>
      </c>
      <c r="F22" s="3" t="n">
        <v>129.6</v>
      </c>
      <c r="G22" s="2" t="n">
        <v>6301</v>
      </c>
    </row>
    <row r="23">
      <c r="A23" s="2" t="n">
        <v>2014</v>
      </c>
      <c r="B23" s="3" t="n">
        <v>14.767</v>
      </c>
      <c r="C23" s="3" t="n">
        <v>11.445</v>
      </c>
      <c r="D23" s="3" t="n">
        <v>13.614</v>
      </c>
      <c r="E23" s="3" t="n">
        <v>0</v>
      </c>
      <c r="F23" s="3" t="n">
        <v>131.65</v>
      </c>
      <c r="G23" s="2" t="n">
        <v>5798</v>
      </c>
    </row>
    <row r="24">
      <c r="A24" s="2" t="n">
        <v>2015</v>
      </c>
      <c r="B24" s="3" t="n">
        <v>11.429</v>
      </c>
      <c r="C24" s="3" t="n">
        <v>8.5</v>
      </c>
      <c r="D24" s="3" t="n">
        <v>11.532</v>
      </c>
      <c r="E24" s="3" t="n">
        <v>0.1</v>
      </c>
      <c r="F24" s="3" t="n">
        <v>127.7</v>
      </c>
      <c r="G24" s="2" t="n">
        <v>6512</v>
      </c>
    </row>
    <row r="25">
      <c r="A25" s="2" t="n">
        <v>2016</v>
      </c>
      <c r="B25" s="3" t="n">
        <v>12.968</v>
      </c>
      <c r="C25" s="3" t="n">
        <v>10.13</v>
      </c>
      <c r="D25" s="3" t="n">
        <v>12.316</v>
      </c>
      <c r="E25" s="3" t="n">
        <v>0.3</v>
      </c>
      <c r="F25" s="3" t="n">
        <v>125.75</v>
      </c>
      <c r="G25" s="2" t="n">
        <v>6841</v>
      </c>
    </row>
    <row r="26">
      <c r="A26" s="2" t="n">
        <v>2017</v>
      </c>
      <c r="B26" s="3" t="n">
        <v>16.88</v>
      </c>
      <c r="C26" s="3" t="n">
        <v>13.32</v>
      </c>
      <c r="D26" s="3" t="n">
        <v>14.922</v>
      </c>
      <c r="E26" s="3" t="n">
        <v>0.5</v>
      </c>
      <c r="F26" s="3" t="n">
        <v>131</v>
      </c>
      <c r="G26" s="2" t="n">
        <v>7004</v>
      </c>
    </row>
    <row r="27">
      <c r="A27" s="2" t="n">
        <v>2018</v>
      </c>
      <c r="B27" s="3" t="n">
        <v>14.199</v>
      </c>
      <c r="C27" s="3" t="n">
        <v>10.59</v>
      </c>
      <c r="D27" s="3" t="n">
        <v>14.394</v>
      </c>
      <c r="E27" s="3" t="n">
        <v>0.5</v>
      </c>
      <c r="F27" s="3" t="n">
        <v>127.9</v>
      </c>
      <c r="G27" s="2" t="n">
        <v>6647</v>
      </c>
    </row>
    <row r="28">
      <c r="A28" s="2" t="n">
        <v>2019</v>
      </c>
      <c r="B28" s="3" t="n">
        <v>12.308</v>
      </c>
      <c r="C28" s="3" t="n">
        <v>9.300000000000001</v>
      </c>
      <c r="D28" s="3" t="n">
        <v>12.249</v>
      </c>
      <c r="E28" s="3" t="n">
        <v>0</v>
      </c>
      <c r="F28" s="3" t="n">
        <v>123.7</v>
      </c>
      <c r="G28" s="2" t="n">
        <v>7002</v>
      </c>
    </row>
    <row r="29">
      <c r="A29" s="2" t="n">
        <v>2020</v>
      </c>
      <c r="B29" s="3" t="n">
        <v>11.675</v>
      </c>
      <c r="C29" s="3" t="n">
        <v>8.619999999999999</v>
      </c>
      <c r="D29" s="3" t="n">
        <v>11.825</v>
      </c>
      <c r="E29" s="3" t="n">
        <v>0.1</v>
      </c>
      <c r="F29" s="3" t="n">
        <v>122.2</v>
      </c>
      <c r="G29" s="2" t="n">
        <v>6915</v>
      </c>
    </row>
    <row r="30">
      <c r="A30" s="2" t="n">
        <v>2021</v>
      </c>
      <c r="B30" s="3" t="n">
        <v>10.381</v>
      </c>
      <c r="C30" s="3" t="n">
        <v>7.55</v>
      </c>
      <c r="D30" s="3" t="n">
        <v>10.438</v>
      </c>
      <c r="E30" s="3" t="n">
        <v>0</v>
      </c>
      <c r="F30" s="3" t="n">
        <v>117.9</v>
      </c>
      <c r="G30" s="2" t="n">
        <v>6748</v>
      </c>
    </row>
    <row r="31">
      <c r="A31" s="2" t="n">
        <v>2022</v>
      </c>
      <c r="B31" s="3" t="n">
        <v>7.861</v>
      </c>
      <c r="C31" s="3" t="n">
        <v>5.4</v>
      </c>
      <c r="D31" s="3" t="n">
        <v>9.077999999999999</v>
      </c>
      <c r="E31" s="3" t="n">
        <v>0</v>
      </c>
      <c r="F31" s="3" t="n">
        <v>109</v>
      </c>
      <c r="G31" s="2" t="n">
        <v>6968</v>
      </c>
    </row>
    <row r="32">
      <c r="A32" s="2" t="n">
        <v>2023</v>
      </c>
      <c r="B32" s="3" t="n">
        <v>8.936999999999999</v>
      </c>
      <c r="C32" s="3" t="n">
        <v>6.65</v>
      </c>
      <c r="D32" s="3" t="n">
        <v>8.756</v>
      </c>
      <c r="E32" s="3" t="n">
        <v>0</v>
      </c>
      <c r="F32" s="3" t="n">
        <v>138</v>
      </c>
      <c r="G32" s="2" t="n">
        <v>6942</v>
      </c>
    </row>
    <row r="33">
      <c r="A33" s="2" t="n">
        <v>2024</v>
      </c>
      <c r="B33" s="3" t="n">
        <v>9.85</v>
      </c>
      <c r="C33" s="3" t="n">
        <v>7.11</v>
      </c>
      <c r="D33" s="3" t="n">
        <v>10.173</v>
      </c>
      <c r="E33" s="3" t="n">
        <v>0.02</v>
      </c>
      <c r="F33" s="3" t="n">
        <v>140.5</v>
      </c>
      <c r="G33" s="2" t="n">
        <v>6961</v>
      </c>
    </row>
    <row r="34">
      <c r="A34" s="2" t="n">
        <v>2025</v>
      </c>
      <c r="B34" s="3" t="n">
        <v>9.06</v>
      </c>
      <c r="C34" s="3" t="n">
        <v>6.745</v>
      </c>
      <c r="D34" s="3" t="n">
        <v>9.077999999999999</v>
      </c>
      <c r="E34" s="3" t="n">
        <v>0</v>
      </c>
      <c r="F34" s="3" t="n">
        <v>123</v>
      </c>
      <c r="G34" s="2" t="n">
        <v>6966</v>
      </c>
    </row>
    <row r="35"/>
    <row r="36">
      <c r="A36" s="4" t="inlineStr">
        <is>
          <t>Overall</t>
        </is>
      </c>
      <c r="B36" s="5">
        <f>AVERAGE(B2:B34)</f>
        <v/>
      </c>
      <c r="C36" s="5">
        <f>MEDIAN(C2:C34)</f>
        <v/>
      </c>
      <c r="D36" s="5">
        <f>AVERAGE(D2:D34)</f>
        <v/>
      </c>
      <c r="E36" s="5">
        <f>MIN(E2:E34)</f>
        <v/>
      </c>
      <c r="F36" s="5">
        <f>MAX(F2:F34)</f>
        <v/>
      </c>
      <c r="G36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2026-05-27T16:22:10Z</dcterms:created>
  <dcterms:modified xmlns:dcterms="http://purl.org/dc/terms/" xmlns:xsi="http://www.w3.org/2001/XMLSchema-instance" xsi:type="dcterms:W3CDTF">2026-05-27T16:22:10Z</dcterms:modified>
</cp:coreProperties>
</file>